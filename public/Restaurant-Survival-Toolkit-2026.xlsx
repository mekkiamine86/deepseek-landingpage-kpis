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ليل الاستخدام" sheetId="1" state="visible" r:id="rId1"/>
    <sheet name="لوحة الاستراتيجية" sheetId="2" state="visible" r:id="rId2"/>
    <sheet name="الامتثال والضرائب" sheetId="3" state="visible" r:id="rId3"/>
    <sheet name="التكلفة والمنيو" sheetId="4" state="visible" r:id="rId4"/>
    <sheet name="كشف التدفق النقدي" sheetId="5" state="visible" r:id="rId5"/>
    <sheet name="قوائم التشغي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color rgb="00000000"/>
      <sz val="12"/>
    </font>
    <font>
      <name val="Calibri"/>
      <b val="1"/>
      <color rgb="001B365D"/>
      <sz val="14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996515"/>
      <sz val="14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F9E8"/>
      </patternFill>
    </fill>
    <fill>
      <patternFill patternType="solid">
        <fgColor rgb="00F2F2F2"/>
      </patternFill>
    </fill>
    <fill>
      <patternFill patternType="solid">
        <fgColor rgb="001B365D"/>
      </patternFill>
    </fill>
  </fills>
  <borders count="8">
    <border>
      <left/>
      <right/>
      <top/>
      <bottom/>
      <diagonal/>
    </border>
    <border>
      <bottom style="medium">
        <color rgb="00996515"/>
      </bottom>
    </border>
    <border>
      <top style="medium">
        <color rgb="00996515"/>
      </top>
      <bottom style="medium">
        <color rgb="00996515"/>
      </bottom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996515"/>
      </left>
      <right style="medium">
        <color rgb="00996515"/>
      </right>
      <top style="medium">
        <color rgb="00996515"/>
      </top>
      <bottom style="medium">
        <color rgb="00996515"/>
      </bottom>
    </border>
    <border>
      <left style="thin">
        <color rgb="00B7B7B7"/>
      </left>
      <right style="thin">
        <color rgb="00B7B7B7"/>
      </right>
      <top style="medium">
        <color rgb="001B365D"/>
      </top>
      <bottom style="thin">
        <color rgb="00B7B7B7"/>
      </bottom>
    </border>
    <border>
      <bottom style="medium">
        <color rgb="0016305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 wrapText="1"/>
    </xf>
    <xf numFmtId="0" fontId="2" fillId="3" borderId="4" applyAlignment="1" pivotButton="0" quotePrefix="0" xfId="0">
      <alignment horizontal="right" vertical="center" wrapText="1"/>
    </xf>
    <xf numFmtId="0" fontId="4" fillId="4" borderId="4" applyAlignment="1" pivotButton="0" quotePrefix="0" xfId="0">
      <alignment horizontal="right" vertical="center" wrapText="1"/>
    </xf>
    <xf numFmtId="0" fontId="2" fillId="4" borderId="4" applyAlignment="1" pivotButton="0" quotePrefix="0" xfId="0">
      <alignment horizontal="right" vertical="center" wrapText="1"/>
    </xf>
    <xf numFmtId="0" fontId="4" fillId="2" borderId="5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1" fontId="4" fillId="5" borderId="5" applyAlignment="1" applyProtection="1" pivotButton="0" quotePrefix="0" xfId="0">
      <alignment horizontal="center" vertical="center" wrapText="1"/>
      <protection locked="0" hidden="0"/>
    </xf>
    <xf numFmtId="0" fontId="0" fillId="4" borderId="0" pivotButton="0" quotePrefix="0" xfId="0"/>
    <xf numFmtId="0" fontId="4" fillId="4" borderId="3" applyAlignment="1" pivotButton="0" quotePrefix="0" xfId="0">
      <alignment horizontal="right" vertical="center" wrapText="1"/>
    </xf>
    <xf numFmtId="1" fontId="4" fillId="6" borderId="6" applyAlignment="1" pivotButton="0" quotePrefix="0" xfId="0">
      <alignment horizontal="center" vertical="center" wrapText="1"/>
    </xf>
    <xf numFmtId="164" fontId="4" fillId="6" borderId="6" applyAlignment="1" pivotButton="0" quotePrefix="0" xfId="0">
      <alignment horizontal="center" vertical="center" wrapText="1"/>
    </xf>
    <xf numFmtId="9" fontId="4" fillId="5" borderId="5" applyAlignment="1" applyProtection="1" pivotButton="0" quotePrefix="0" xfId="0">
      <alignment horizontal="center" vertical="center" wrapText="1"/>
      <protection locked="0" hidden="0"/>
    </xf>
    <xf numFmtId="0" fontId="4" fillId="6" borderId="6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right" vertical="center" wrapText="1"/>
    </xf>
    <xf numFmtId="0" fontId="6" fillId="6" borderId="0" applyAlignment="1" pivotButton="0" quotePrefix="0" xfId="0">
      <alignment horizontal="left" vertical="center"/>
    </xf>
    <xf numFmtId="9" fontId="4" fillId="6" borderId="6" applyAlignment="1" pivotButton="0" quotePrefix="0" xfId="0">
      <alignment horizontal="center" vertical="center" wrapText="1"/>
    </xf>
    <xf numFmtId="0" fontId="7" fillId="7" borderId="7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right" vertical="center"/>
    </xf>
    <xf numFmtId="10" fontId="4" fillId="5" borderId="5" applyAlignment="1" pivotButton="0" quotePrefix="0" xfId="0">
      <alignment horizontal="center" vertical="center" wrapText="1"/>
    </xf>
    <xf numFmtId="1" fontId="4" fillId="5" borderId="5" applyAlignment="1" pivotButton="0" quotePrefix="0" xfId="0">
      <alignment horizontal="center" vertical="center" wrapText="1"/>
    </xf>
    <xf numFmtId="0" fontId="4" fillId="5" borderId="5" applyAlignment="1" applyProtection="1" pivotButton="0" quotePrefix="0" xfId="0">
      <alignment horizontal="center" vertical="center" wrapText="1"/>
      <protection locked="0" hidden="0"/>
    </xf>
    <xf numFmtId="0" fontId="2" fillId="4" borderId="3" applyAlignment="1" pivotButton="0" quotePrefix="0" xfId="0">
      <alignment horizontal="right" vertical="center" wrapText="1"/>
    </xf>
    <xf numFmtId="164" fontId="4" fillId="5" borderId="5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/>
    </xf>
    <xf numFmtId="0" fontId="7" fillId="7" borderId="7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9" fontId="4" fillId="6" borderId="6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5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6500"/>
      </font>
      <fill>
        <patternFill patternType="solid">
          <fgColor rgb="00FFEB9C"/>
        </patternFill>
      </fill>
    </dxf>
    <dxf>
      <font>
        <name val="Calibri"/>
        <b val="1"/>
        <color rgb="001F4E79"/>
      </font>
      <fill>
        <patternFill patternType="solid">
          <fgColor rgb="00DDEBF7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الإيرادات الشهرية مقابل نقطة التعادل</a:t>
            </a:r>
          </a:p>
        </rich>
      </tx>
    </title>
    <plotArea>
      <lineChart>
        <grouping val="standard"/>
        <ser>
          <idx val="0"/>
          <order val="0"/>
          <tx>
            <strRef>
              <f>'لوحة الاستراتيجية'!B29</f>
            </strRef>
          </tx>
          <spPr>
            <a:ln w="24000">
              <a:solidFill>
                <a:srgbClr val="1B36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'لوحة الاستراتيجية'!$A$30:$A$41</f>
            </numRef>
          </cat>
          <val>
            <numRef>
              <f>'لوحة الاستراتيجية'!$B$30:$B$41</f>
            </numRef>
          </val>
        </ser>
        <ser>
          <idx val="1"/>
          <order val="1"/>
          <tx>
            <strRef>
              <f>'لوحة الاستراتيجية'!C29</f>
            </strRef>
          </tx>
          <spPr>
            <a:ln w="24000">
              <a:solidFill>
                <a:srgbClr val="99651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'لوحة الاستراتيجية'!$A$30:$A$41</f>
            </numRef>
          </cat>
          <val>
            <numRef>
              <f>'لوحة الاستراتيجية'!$C$30:$C$41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الشهر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ر.س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1.75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6" customHeight="1">
      <c r="A1" s="1" t="inlineStr">
        <is>
          <t>حقيبة بقاء المطاعم 2026 — Restaurant Survival Toolkit</t>
        </is>
      </c>
    </row>
    <row r="2" ht="24" customHeight="1">
      <c r="A2" s="2" t="inlineStr">
        <is>
          <t>منهجية الكتاب الكامل (8 فصول) مترجمة إلى أدوات تفاعلية — مصممة للبيئة التنظيمية السعودية 2026</t>
        </is>
      </c>
    </row>
    <row r="3"/>
    <row r="4" ht="28" customHeight="1">
      <c r="A4" s="3" t="inlineStr">
        <is>
          <t>محتويات الحقيبة</t>
        </is>
      </c>
    </row>
    <row r="5" ht="26" customHeight="1">
      <c r="A5" s="4" t="inlineStr">
        <is>
          <t>لوحة الاستراتيجية</t>
        </is>
      </c>
      <c r="B5" s="5" t="inlineStr">
        <is>
          <t>احتمالية بقاء مطعمك من مدخلاتك المالية + رسم الإيرادات مقابل نقطة التعادل</t>
        </is>
      </c>
    </row>
    <row r="6" ht="26" customHeight="1">
      <c r="A6" s="6" t="inlineStr">
        <is>
          <t>الامتثال والضرائب</t>
        </is>
      </c>
      <c r="B6" s="7" t="inlineStr">
        <is>
          <t>ضريبة القيمة المضافة 15%، الزكاة، والتكلفة الحقيقية للموظف (GOSI + Muqeem + تأمين CHI)</t>
        </is>
      </c>
    </row>
    <row r="7" ht="26" customHeight="1">
      <c r="A7" s="4" t="inlineStr">
        <is>
          <t>التكلفة الأولية والمنيو</t>
        </is>
      </c>
      <c r="B7" s="5" t="inlineStr">
        <is>
          <t>تسعير الطبق بدقة + مصفوفة هندسة المنيو (نجوم / حصان الجر / لغز / كلاب)</t>
        </is>
      </c>
    </row>
    <row r="8" ht="26" customHeight="1">
      <c r="A8" s="6" t="inlineStr">
        <is>
          <t>كشف التدفق النقدي</t>
        </is>
      </c>
      <c r="B8" s="7" t="inlineStr">
        <is>
          <t>كشف جنائي لـ 12 شهراً يكشف أين تختفي الأرباح + فحص التسريبات الخفية</t>
        </is>
      </c>
    </row>
    <row r="9" ht="26" customHeight="1">
      <c r="A9" s="4" t="inlineStr">
        <is>
          <t>قوائم التشغيل</t>
        </is>
      </c>
      <c r="B9" s="5" t="inlineStr">
        <is>
          <t>قوائم فتح وإغلاق يومية تفاعلية جاهزة للتصدير PDF</t>
        </is>
      </c>
    </row>
    <row r="10"/>
    <row r="11" ht="28" customHeight="1">
      <c r="A11" s="3" t="inlineStr">
        <is>
          <t>طريقة الاستخدام</t>
        </is>
      </c>
    </row>
    <row r="12" ht="30" customHeight="1">
      <c r="A12" s="8" t="inlineStr">
        <is>
          <t>1. أدخل أرقامك في الخلايا ذات الإطار البني/الذهبي فقط — بقية الخلايا مقفلة لحماية الصيغ.</t>
        </is>
      </c>
    </row>
    <row r="13" ht="30" customHeight="1">
      <c r="A13" s="8" t="inlineStr">
        <is>
          <t>2. ابدأ من لوحة الاستراتيجية: أدخل مدخلات الشهر واقرأ احتمالية البقاء فوراً.</t>
        </is>
      </c>
    </row>
    <row r="14" ht="30" customHeight="1">
      <c r="A14" s="8" t="inlineStr">
        <is>
          <t>3. معدلات 2026 مدمجة مسبقاً وقابلة للتعديل: ضريبة القيمة المضافة 15%، الزكاة 2.5%، GOSI.</t>
        </is>
      </c>
    </row>
    <row r="15" ht="30" customHeight="1">
      <c r="A15" s="8" t="inlineStr">
        <is>
          <t>4. للتصدير PDF: من قائمة File → Print → Save as PDF (قوائم التشغيل مضبوطة للطباعة).</t>
        </is>
      </c>
    </row>
    <row r="16"/>
    <row r="17" ht="28" customHeight="1">
      <c r="A17" s="3" t="inlineStr">
        <is>
          <t>مصادر المعدلات 2026</t>
        </is>
      </c>
    </row>
    <row r="18" ht="20" customHeight="1">
      <c r="A18" s="9" t="inlineStr">
        <is>
          <t>GOSI: سعودي = 11.75% صاحب عمل + 9.75% موظف (النظام الجديد اعتباراً من يوليو 2026: 12.75% + 10.75%) — الوافد 2% فقط على صاحب العمل.</t>
        </is>
      </c>
    </row>
    <row r="19" ht="20" customHeight="1">
      <c r="A19" s="9" t="inlineStr">
        <is>
          <t>رسوم الإقامة: تجديد الإقامة 650 ر.س سنوياً + رسوم رخصة عمل ~800 ر.س شهرياً.</t>
        </is>
      </c>
    </row>
    <row r="20" ht="20" customHeight="1">
      <c r="A20" s="9" t="inlineStr">
        <is>
          <t>التأمين الصحي CHI: إلزامي ويدفعه صاحب العمل — الفئة الأساسية من ~100 ر.س شهرياً.</t>
        </is>
      </c>
    </row>
    <row r="21" ht="20" customHeight="1">
      <c r="A21" s="9" t="inlineStr">
        <is>
          <t>ضريبة القيمة المضافة 15% والزكاة 2.5% وفق هيئة الزكاة والضريبة والجمارك ZATCA.</t>
        </is>
      </c>
    </row>
    <row r="2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8">
    <mergeCell ref="A2:F2"/>
    <mergeCell ref="A11:F11"/>
    <mergeCell ref="B7:F7"/>
    <mergeCell ref="B6:F6"/>
    <mergeCell ref="A13:F13"/>
    <mergeCell ref="A14:F14"/>
    <mergeCell ref="A19:F19"/>
    <mergeCell ref="A1:F1"/>
    <mergeCell ref="B5:F5"/>
    <mergeCell ref="A15:F15"/>
    <mergeCell ref="A17:F17"/>
    <mergeCell ref="A12:F12"/>
    <mergeCell ref="A4:F4"/>
    <mergeCell ref="B8:F8"/>
    <mergeCell ref="A18:F18"/>
    <mergeCell ref="A21:F21"/>
    <mergeCell ref="A20:F20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24.75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لوحة الاستراتيجية — Survival Dashboard</t>
        </is>
      </c>
    </row>
    <row r="2" ht="24" customHeight="1">
      <c r="A2" s="2" t="inlineStr">
        <is>
          <t>احتمالية بقاء مطعمك وفق مدخلاتك المالية — الفصل الأول</t>
        </is>
      </c>
    </row>
    <row r="3"/>
    <row r="4" ht="28" customHeight="1">
      <c r="A4" s="3" t="inlineStr">
        <is>
          <t>مدخلات الشهر — أدخل أرقامك في الخلايا ذات الإطار الذهبي</t>
        </is>
      </c>
    </row>
    <row r="5" ht="26" customHeight="1">
      <c r="A5" s="10" t="inlineStr">
        <is>
          <t>الإيرادات الشهرية شاملة الضريبة (ر.س)</t>
        </is>
      </c>
      <c r="B5" s="11" t="n">
        <v>320000</v>
      </c>
      <c r="C5" s="12" t="n"/>
    </row>
    <row r="6" ht="26" customHeight="1">
      <c r="A6" s="13" t="inlineStr">
        <is>
          <t>تكلفة المواد الأولية COGS (ر.س)</t>
        </is>
      </c>
      <c r="B6" s="11" t="n">
        <v>105000</v>
      </c>
      <c r="C6" s="12" t="n"/>
    </row>
    <row r="7" ht="26" customHeight="1">
      <c r="A7" s="10" t="inlineStr">
        <is>
          <t>تكلفة العمالة (ر.س)</t>
        </is>
      </c>
      <c r="B7" s="11" t="n">
        <v>88000</v>
      </c>
      <c r="C7" s="12" t="n"/>
    </row>
    <row r="8" ht="26" customHeight="1">
      <c r="A8" s="13" t="inlineStr">
        <is>
          <t>الإيجار والمصاريف الثابتة (ر.س)</t>
        </is>
      </c>
      <c r="B8" s="11" t="n">
        <v>52000</v>
      </c>
      <c r="C8" s="12" t="n"/>
    </row>
    <row r="9" ht="26" customHeight="1">
      <c r="A9" s="10" t="inlineStr">
        <is>
          <t>مصاريف تشغيل متغيرة (ر.س)</t>
        </is>
      </c>
      <c r="B9" s="11" t="n">
        <v>21000</v>
      </c>
      <c r="C9" s="12" t="n"/>
    </row>
    <row r="10" ht="26" customHeight="1">
      <c r="A10" s="13" t="inlineStr">
        <is>
          <t>مبيعات ذروة رمضان/الأعياد (ر.س)</t>
        </is>
      </c>
      <c r="B10" s="11" t="n">
        <v>520000</v>
      </c>
      <c r="C10" s="12" t="n"/>
    </row>
    <row r="11"/>
    <row r="12" ht="28" customHeight="1">
      <c r="A12" s="3" t="inlineStr">
        <is>
          <t>مؤشرات محسوبة</t>
        </is>
      </c>
    </row>
    <row r="13">
      <c r="A13" s="10" t="inlineStr">
        <is>
          <t>صافي الإيرادات بعد الضريبة (ر.س)</t>
        </is>
      </c>
      <c r="B13" s="14">
        <f>B5/(1+$B$21)</f>
        <v/>
      </c>
    </row>
    <row r="14">
      <c r="A14" s="10" t="inlineStr">
        <is>
          <t>التكلفة الأولية Prime Cost (ر.س)</t>
        </is>
      </c>
      <c r="B14" s="14">
        <f>B6+B7</f>
        <v/>
      </c>
    </row>
    <row r="15">
      <c r="A15" s="10" t="inlineStr">
        <is>
          <t>نسبة التكلفة الأولية</t>
        </is>
      </c>
      <c r="B15" s="15">
        <f>B14/B13</f>
        <v/>
      </c>
    </row>
    <row r="16">
      <c r="A16" s="10" t="inlineStr">
        <is>
          <t>صافي الربح التشغيلي (ر.س)</t>
        </is>
      </c>
      <c r="B16" s="14">
        <f>B13-B14-B8-B9</f>
        <v/>
      </c>
    </row>
    <row r="17">
      <c r="A17" s="10" t="inlineStr">
        <is>
          <t>هامش الربح الصافي</t>
        </is>
      </c>
      <c r="B17" s="15">
        <f>B16/B13</f>
        <v/>
      </c>
    </row>
    <row r="18">
      <c r="A18" s="10" t="inlineStr">
        <is>
          <t>نقطة التعادل الشهرية (ر.س)</t>
        </is>
      </c>
      <c r="B18" s="14">
        <f>IF(B13&gt;0,(B8+B9)/(1-B15),0)</f>
        <v/>
      </c>
    </row>
    <row r="19">
      <c r="A19" s="10" t="inlineStr">
        <is>
          <t>هامش الأمان (ر.س)</t>
        </is>
      </c>
      <c r="B19" s="14">
        <f>B13-B18</f>
        <v/>
      </c>
    </row>
    <row r="20"/>
    <row r="21">
      <c r="A21" s="10" t="inlineStr">
        <is>
          <t>معدل ضريبة القيمة المضافة</t>
        </is>
      </c>
      <c r="B21" s="16" t="n">
        <v>0.15</v>
      </c>
    </row>
    <row r="22" ht="28" customHeight="1">
      <c r="A22" s="3" t="inlineStr">
        <is>
          <t>احتمالية البقاء</t>
        </is>
      </c>
    </row>
    <row r="23" ht="28" customHeight="1">
      <c r="A23" s="10" t="inlineStr">
        <is>
          <t>درجة البقاء (من 100)</t>
        </is>
      </c>
      <c r="B23" s="14">
        <f>MIN(100,MAX(0,40*MIN(1,MAX(0,B19)/MAX(B18,1))+30*MAX(0,1-B15)+30*MAX(0,B17)))</f>
        <v/>
      </c>
      <c r="C23" s="10" t="inlineStr">
        <is>
          <t>التصنيف</t>
        </is>
      </c>
      <c r="D23" s="17">
        <f>IF(B23&gt;=75,"قوي جداً",IF(B23&gt;=55,"مستقر",IF(B23&gt;=35,"هش","خطر")))</f>
        <v/>
      </c>
    </row>
    <row r="24" ht="24" customHeight="1">
      <c r="A24" s="18" t="inlineStr">
        <is>
          <t>شريط الحالة</t>
        </is>
      </c>
      <c r="B24" s="19">
        <f>REPT("█",ROUND(B23/10,0))</f>
        <v/>
      </c>
    </row>
    <row r="25" ht="24" customHeight="1">
      <c r="A25" s="18" t="inlineStr">
        <is>
          <t>الحالة</t>
        </is>
      </c>
      <c r="B25" s="17">
        <f>IF(B19&gt;0,"فوق نقطة التعادل","تحت نقطة التعادل")</f>
        <v/>
      </c>
    </row>
    <row r="26" ht="24" customHeight="1">
      <c r="A26" s="18" t="inlineStr">
        <is>
          <t>مقارنة بذروة رمضان/الأعياد</t>
        </is>
      </c>
      <c r="B26" s="20">
        <f>IF(B10&gt;0,B13/B10,1)</f>
        <v/>
      </c>
    </row>
    <row r="27"/>
    <row r="28" ht="28" customHeight="1">
      <c r="A28" s="3" t="inlineStr">
        <is>
          <t>الإيرادات الشهرية مقابل نقطة التعادل (بيانات الرسم)</t>
        </is>
      </c>
    </row>
    <row r="29" ht="30" customHeight="1">
      <c r="A29" s="21" t="inlineStr">
        <is>
          <t>الشهر</t>
        </is>
      </c>
      <c r="B29" s="21" t="inlineStr">
        <is>
          <t>الإيرادات الشهرية (ر.س)</t>
        </is>
      </c>
      <c r="C29" s="21" t="inlineStr">
        <is>
          <t>نقطة التعادل (ر.س)</t>
        </is>
      </c>
    </row>
    <row r="30" ht="24" customHeight="1">
      <c r="A30" s="22" t="inlineStr">
        <is>
          <t>يناير</t>
        </is>
      </c>
      <c r="B30" s="14">
        <f>IF(MOD(ROW(),3)=0,B10,B5)</f>
        <v/>
      </c>
      <c r="C30" s="14">
        <f>B18</f>
        <v/>
      </c>
    </row>
    <row r="31" ht="24" customHeight="1">
      <c r="A31" s="23" t="inlineStr">
        <is>
          <t>فبراير</t>
        </is>
      </c>
      <c r="B31" s="14">
        <f>IF(MOD(ROW(),3)=0,B10,B5)</f>
        <v/>
      </c>
      <c r="C31" s="14">
        <f>B18</f>
        <v/>
      </c>
    </row>
    <row r="32" ht="24" customHeight="1">
      <c r="A32" s="22" t="inlineStr">
        <is>
          <t>مارس</t>
        </is>
      </c>
      <c r="B32" s="14">
        <f>IF(MOD(ROW(),3)=0,B10,B5)</f>
        <v/>
      </c>
      <c r="C32" s="14">
        <f>B18</f>
        <v/>
      </c>
    </row>
    <row r="33" ht="24" customHeight="1">
      <c r="A33" s="23" t="inlineStr">
        <is>
          <t>أبريل</t>
        </is>
      </c>
      <c r="B33" s="14">
        <f>IF(MOD(ROW(),3)=0,B10,B5)</f>
        <v/>
      </c>
      <c r="C33" s="14">
        <f>B18</f>
        <v/>
      </c>
    </row>
    <row r="34" ht="24" customHeight="1">
      <c r="A34" s="22" t="inlineStr">
        <is>
          <t>مايو</t>
        </is>
      </c>
      <c r="B34" s="14">
        <f>IF(MOD(ROW(),3)=0,B10,B5)</f>
        <v/>
      </c>
      <c r="C34" s="14">
        <f>B18</f>
        <v/>
      </c>
    </row>
    <row r="35" ht="24" customHeight="1">
      <c r="A35" s="23" t="inlineStr">
        <is>
          <t>يونيو</t>
        </is>
      </c>
      <c r="B35" s="14">
        <f>IF(MOD(ROW(),3)=0,B10,B5)</f>
        <v/>
      </c>
      <c r="C35" s="14">
        <f>B18</f>
        <v/>
      </c>
    </row>
    <row r="36" ht="24" customHeight="1">
      <c r="A36" s="22" t="inlineStr">
        <is>
          <t>يوليو</t>
        </is>
      </c>
      <c r="B36" s="14">
        <f>IF(MOD(ROW(),3)=0,B10,B5)</f>
        <v/>
      </c>
      <c r="C36" s="14">
        <f>B18</f>
        <v/>
      </c>
    </row>
    <row r="37" ht="24" customHeight="1">
      <c r="A37" s="23" t="inlineStr">
        <is>
          <t>أغسطس</t>
        </is>
      </c>
      <c r="B37" s="14">
        <f>IF(MOD(ROW(),3)=0,B10,B5)</f>
        <v/>
      </c>
      <c r="C37" s="14">
        <f>B18</f>
        <v/>
      </c>
    </row>
    <row r="38" ht="24" customHeight="1">
      <c r="A38" s="22" t="inlineStr">
        <is>
          <t>سبتمبر</t>
        </is>
      </c>
      <c r="B38" s="14">
        <f>IF(MOD(ROW(),3)=0,B10,B5)</f>
        <v/>
      </c>
      <c r="C38" s="14">
        <f>B18</f>
        <v/>
      </c>
    </row>
    <row r="39" ht="24" customHeight="1">
      <c r="A39" s="23" t="inlineStr">
        <is>
          <t>أكتوبر</t>
        </is>
      </c>
      <c r="B39" s="14">
        <f>IF(MOD(ROW(),3)=0,B10,B5)</f>
        <v/>
      </c>
      <c r="C39" s="14">
        <f>B18</f>
        <v/>
      </c>
    </row>
    <row r="40" ht="24" customHeight="1">
      <c r="A40" s="22" t="inlineStr">
        <is>
          <t>نوفمبر</t>
        </is>
      </c>
      <c r="B40" s="14">
        <f>IF(MOD(ROW(),3)=0,B10,B5)</f>
        <v/>
      </c>
      <c r="C40" s="14">
        <f>B18</f>
        <v/>
      </c>
    </row>
    <row r="41" ht="24" customHeight="1">
      <c r="A41" s="23" t="inlineStr">
        <is>
          <t>ديسمبر</t>
        </is>
      </c>
      <c r="B41" s="14">
        <f>IF(MOD(ROW(),3)=0,B10,B5)</f>
        <v/>
      </c>
      <c r="C41" s="14">
        <f>B18</f>
        <v/>
      </c>
    </row>
    <row r="42"/>
    <row r="43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A12:H12"/>
    <mergeCell ref="A4:H4"/>
    <mergeCell ref="C6:D6"/>
    <mergeCell ref="C7:D7"/>
    <mergeCell ref="C10:D10"/>
    <mergeCell ref="A2:H2"/>
    <mergeCell ref="C5:D5"/>
    <mergeCell ref="A28:H28"/>
    <mergeCell ref="C9:D9"/>
    <mergeCell ref="A1:H1"/>
    <mergeCell ref="C8:D8"/>
    <mergeCell ref="A22:H2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B365D"/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0.75" customWidth="1" min="3" max="3"/>
    <col width="18" customWidth="1" min="4" max="4"/>
    <col width="18.25" customWidth="1" min="5" max="5"/>
    <col width="24.3" customWidth="1" min="6" max="6"/>
    <col width="29.05" customWidth="1" min="7" max="7"/>
    <col width="23.35" customWidth="1" min="8" max="8"/>
    <col width="31.7" customWidth="1" min="9" max="9"/>
    <col width="31.75" customWidth="1" min="10" max="10"/>
  </cols>
  <sheetData>
    <row r="1" ht="36" customHeight="1">
      <c r="A1" s="1" t="inlineStr">
        <is>
          <t>الامتثال والضرائب — التكلفة الحقيقية للموظف</t>
        </is>
      </c>
    </row>
    <row r="2" ht="24" customHeight="1">
      <c r="A2" s="2" t="inlineStr">
        <is>
          <t>GOSI + Muqeem + تأمين CHI + ضريبة القيمة المضافة + الزكاة — الفصول 2 و3 و6</t>
        </is>
      </c>
    </row>
    <row r="3"/>
    <row r="4" ht="28" customHeight="1">
      <c r="A4" s="3" t="inlineStr">
        <is>
          <t>معدلات 2026 (قابلة للتعديل)</t>
        </is>
      </c>
    </row>
    <row r="5" ht="24" customHeight="1">
      <c r="A5" s="10" t="inlineStr">
        <is>
          <t>GOSI سعودي (نظام قديم) — اشتراك صاحب العمل</t>
        </is>
      </c>
      <c r="B5" s="24" t="n">
        <v>0.1175</v>
      </c>
    </row>
    <row r="6" ht="24" customHeight="1">
      <c r="A6" s="13" t="inlineStr">
        <is>
          <t>GOSI سعودي (نظام قديم) — اشتراك الموظف</t>
        </is>
      </c>
      <c r="B6" s="24" t="n">
        <v>0.0975</v>
      </c>
    </row>
    <row r="7" ht="24" customHeight="1">
      <c r="A7" s="10" t="inlineStr">
        <is>
          <t>GOSI سعودي (النظام الجديد) — اشتراك صاحب العمل</t>
        </is>
      </c>
      <c r="B7" s="24" t="n">
        <v>0.1275</v>
      </c>
    </row>
    <row r="8" ht="24" customHeight="1">
      <c r="A8" s="13" t="inlineStr">
        <is>
          <t>GOSI سعودي (النظام الجديد) — اشتراك الموظف</t>
        </is>
      </c>
      <c r="B8" s="24" t="n">
        <v>0.1075</v>
      </c>
    </row>
    <row r="9" ht="24" customHeight="1">
      <c r="A9" s="10" t="inlineStr">
        <is>
          <t>GOSI الوافد — اشتراك صاحب العمل (المخاطر المهنية)</t>
        </is>
      </c>
      <c r="B9" s="24" t="n">
        <v>0.02</v>
      </c>
    </row>
    <row r="10" ht="24" customHeight="1">
      <c r="A10" s="13" t="inlineStr">
        <is>
          <t>رسوم رخصة العمل الشهرية (ر.س)</t>
        </is>
      </c>
      <c r="B10" s="25" t="n">
        <v>800</v>
      </c>
    </row>
    <row r="11" ht="24" customHeight="1">
      <c r="A11" s="10" t="inlineStr">
        <is>
          <t>رسوم تجديد الإقامة السنوية (ر.س)</t>
        </is>
      </c>
      <c r="B11" s="25" t="n">
        <v>650</v>
      </c>
    </row>
    <row r="12" ht="24" customHeight="1">
      <c r="A12" s="13" t="inlineStr">
        <is>
          <t>التأمين الصحي الأساسي CHI شهرياً (ر.س)</t>
        </is>
      </c>
      <c r="B12" s="25" t="n">
        <v>100</v>
      </c>
    </row>
    <row r="13" ht="24" customHeight="1">
      <c r="A13" s="10" t="inlineStr">
        <is>
          <t>تفعيل نظام GOSI الجديد (نعم/لا)</t>
        </is>
      </c>
      <c r="B13" s="26" t="inlineStr">
        <is>
          <t>لا</t>
        </is>
      </c>
    </row>
    <row r="14"/>
    <row r="15" ht="28" customHeight="1">
      <c r="A15" s="3" t="inlineStr">
        <is>
          <t>التكلفة الحقيقية لكل موظف</t>
        </is>
      </c>
    </row>
    <row r="16" ht="30" customHeight="1">
      <c r="A16" s="21" t="inlineStr">
        <is>
          <t>الاسم</t>
        </is>
      </c>
      <c r="B16" s="21" t="inlineStr">
        <is>
          <t>الجنسية</t>
        </is>
      </c>
      <c r="C16" s="21" t="inlineStr">
        <is>
          <t>الراتب الأساسي</t>
        </is>
      </c>
      <c r="D16" s="21" t="inlineStr">
        <is>
          <t>البدلات</t>
        </is>
      </c>
      <c r="E16" s="21" t="inlineStr">
        <is>
          <t>إجمالي الأجر</t>
        </is>
      </c>
      <c r="F16" s="21" t="inlineStr">
        <is>
          <t>اشتراك الموظف GOSI</t>
        </is>
      </c>
      <c r="G16" s="21" t="inlineStr">
        <is>
          <t>اشتراك صاحب العمل GOSI</t>
        </is>
      </c>
      <c r="H16" s="21" t="inlineStr">
        <is>
          <t>التأمين الصحي CHI</t>
        </is>
      </c>
      <c r="I16" s="21" t="inlineStr">
        <is>
          <t>رسوم شهرية (إقامة + عمل)</t>
        </is>
      </c>
      <c r="J16" s="21" t="inlineStr">
        <is>
          <t>التكلفة الشهرية الكاملة</t>
        </is>
      </c>
    </row>
    <row r="17" ht="24" customHeight="1">
      <c r="A17" s="18" t="inlineStr">
        <is>
          <t>مدير المطعم</t>
        </is>
      </c>
      <c r="B17" s="26" t="inlineStr">
        <is>
          <t>سعودي</t>
        </is>
      </c>
      <c r="C17" s="11" t="n">
        <v>12000</v>
      </c>
      <c r="D17" s="11" t="n">
        <v>1500</v>
      </c>
      <c r="E17" s="14">
        <f>C17+D17</f>
        <v/>
      </c>
      <c r="F17" s="14">
        <f>IF($B$17="سعودي",E17*IF($B$13="نعم",$B$8,$B$6),0)</f>
        <v/>
      </c>
      <c r="G17" s="14">
        <f>IF($B$17="سعودي",E17*IF($B$13="نعم",$B$7,$B$5),E17*$B$9)</f>
        <v/>
      </c>
      <c r="H17" s="11" t="n">
        <v>100</v>
      </c>
      <c r="I17" s="14">
        <f>IF($B$17="وافد",$B$10+$B$11/12,0)</f>
        <v/>
      </c>
      <c r="J17" s="14">
        <f>E17+G17+H17+I17</f>
        <v/>
      </c>
    </row>
    <row r="18" ht="24" customHeight="1">
      <c r="A18" s="27" t="inlineStr">
        <is>
          <t>رئيس الطهاة</t>
        </is>
      </c>
      <c r="B18" s="26" t="inlineStr">
        <is>
          <t>وافد</t>
        </is>
      </c>
      <c r="C18" s="11" t="n">
        <v>8500</v>
      </c>
      <c r="D18" s="11" t="n">
        <v>1000</v>
      </c>
      <c r="E18" s="14">
        <f>C18+D18</f>
        <v/>
      </c>
      <c r="F18" s="14">
        <f>IF($B$18="سعودي",E18*IF($B$13="نعم",$B$8,$B$6),0)</f>
        <v/>
      </c>
      <c r="G18" s="14">
        <f>IF($B$18="سعودي",E18*IF($B$13="نعم",$B$7,$B$5),E18*$B$9)</f>
        <v/>
      </c>
      <c r="H18" s="11" t="n">
        <v>100</v>
      </c>
      <c r="I18" s="14">
        <f>IF($B$18="وافد",$B$10+$B$11/12,0)</f>
        <v/>
      </c>
      <c r="J18" s="14">
        <f>E18+G18+H18+I18</f>
        <v/>
      </c>
    </row>
    <row r="19" ht="24" customHeight="1">
      <c r="A19" s="18" t="inlineStr">
        <is>
          <t>طباخ</t>
        </is>
      </c>
      <c r="B19" s="26" t="inlineStr">
        <is>
          <t>وافد</t>
        </is>
      </c>
      <c r="C19" s="11" t="n">
        <v>5000</v>
      </c>
      <c r="D19" s="11" t="n">
        <v>500</v>
      </c>
      <c r="E19" s="14">
        <f>C19+D19</f>
        <v/>
      </c>
      <c r="F19" s="14">
        <f>IF($B$19="سعودي",E19*IF($B$13="نعم",$B$8,$B$6),0)</f>
        <v/>
      </c>
      <c r="G19" s="14">
        <f>IF($B$19="سعودي",E19*IF($B$13="نعم",$B$7,$B$5),E19*$B$9)</f>
        <v/>
      </c>
      <c r="H19" s="11" t="n">
        <v>100</v>
      </c>
      <c r="I19" s="14">
        <f>IF($B$19="وافد",$B$10+$B$11/12,0)</f>
        <v/>
      </c>
      <c r="J19" s="14">
        <f>E19+G19+H19+I19</f>
        <v/>
      </c>
    </row>
    <row r="20" ht="24" customHeight="1">
      <c r="A20" s="27" t="inlineStr">
        <is>
          <t>نادل</t>
        </is>
      </c>
      <c r="B20" s="26" t="inlineStr">
        <is>
          <t>سعودي</t>
        </is>
      </c>
      <c r="C20" s="11" t="n">
        <v>4500</v>
      </c>
      <c r="D20" s="11" t="n">
        <v>300</v>
      </c>
      <c r="E20" s="14">
        <f>C20+D20</f>
        <v/>
      </c>
      <c r="F20" s="14">
        <f>IF($B$20="سعودي",E20*IF($B$13="نعم",$B$8,$B$6),0)</f>
        <v/>
      </c>
      <c r="G20" s="14">
        <f>IF($B$20="سعودي",E20*IF($B$13="نعم",$B$7,$B$5),E20*$B$9)</f>
        <v/>
      </c>
      <c r="H20" s="11" t="n">
        <v>100</v>
      </c>
      <c r="I20" s="14">
        <f>IF($B$20="وافد",$B$10+$B$11/12,0)</f>
        <v/>
      </c>
      <c r="J20" s="14">
        <f>E20+G20+H20+I20</f>
        <v/>
      </c>
    </row>
    <row r="21" ht="24" customHeight="1">
      <c r="A21" s="18" t="inlineStr">
        <is>
          <t>مشرف قاعة</t>
        </is>
      </c>
      <c r="B21" s="26" t="inlineStr">
        <is>
          <t>وافد</t>
        </is>
      </c>
      <c r="C21" s="11" t="n">
        <v>4000</v>
      </c>
      <c r="D21" s="11" t="n">
        <v>400</v>
      </c>
      <c r="E21" s="14">
        <f>C21+D21</f>
        <v/>
      </c>
      <c r="F21" s="14">
        <f>IF($B$21="سعودي",E21*IF($B$13="نعم",$B$8,$B$6),0)</f>
        <v/>
      </c>
      <c r="G21" s="14">
        <f>IF($B$21="سعودي",E21*IF($B$13="نعم",$B$7,$B$5),E21*$B$9)</f>
        <v/>
      </c>
      <c r="H21" s="11" t="n">
        <v>100</v>
      </c>
      <c r="I21" s="14">
        <f>IF($B$21="وافد",$B$10+$B$11/12,0)</f>
        <v/>
      </c>
      <c r="J21" s="14">
        <f>E21+G21+H21+I21</f>
        <v/>
      </c>
    </row>
    <row r="22" ht="26" customHeight="1">
      <c r="A22" s="10" t="inlineStr">
        <is>
          <t>الإجمالي الشهري</t>
        </is>
      </c>
      <c r="C22" s="14">
        <f>SUM(C17:C21)</f>
        <v/>
      </c>
      <c r="D22" s="14">
        <f>SUM(D17:D21)</f>
        <v/>
      </c>
      <c r="E22" s="14">
        <f>SUM(E17:E21)</f>
        <v/>
      </c>
      <c r="F22" s="14">
        <f>SUM(F17:F21)</f>
        <v/>
      </c>
      <c r="G22" s="14">
        <f>SUM(G17:G21)</f>
        <v/>
      </c>
      <c r="H22" s="14">
        <f>SUM(H17:H21)</f>
        <v/>
      </c>
      <c r="I22" s="14">
        <f>SUM(I17:I21)</f>
        <v/>
      </c>
      <c r="J22" s="14">
        <f>SUM(J17:J21)</f>
        <v/>
      </c>
    </row>
    <row r="23"/>
    <row r="24" ht="28" customHeight="1">
      <c r="A24" s="3" t="inlineStr">
        <is>
          <t>الالتزامات الضريبية (VAT)</t>
        </is>
      </c>
    </row>
    <row r="25" ht="24" customHeight="1">
      <c r="A25" s="10" t="inlineStr">
        <is>
          <t>الإيرادات الشهرية شاملة الضريبة (ر.س)</t>
        </is>
      </c>
      <c r="B25" s="11" t="n">
        <v>320000</v>
      </c>
    </row>
    <row r="26" ht="24" customHeight="1">
      <c r="A26" s="10" t="inlineStr">
        <is>
          <t>ضريبة المبيعات المحصلة (15%)</t>
        </is>
      </c>
      <c r="B26" s="14">
        <f>B25*$B$29</f>
        <v/>
      </c>
    </row>
    <row r="27" ht="24" customHeight="1">
      <c r="A27" s="10" t="inlineStr">
        <is>
          <t>ضريبة المشتريات المدفوعة (Input VAT)</t>
        </is>
      </c>
      <c r="B27" s="11" t="n">
        <v>18000</v>
      </c>
    </row>
    <row r="28" ht="24" customHeight="1">
      <c r="A28" s="10" t="inlineStr">
        <is>
          <t>صافي ضريبة القيمة المضافة المستحقة</t>
        </is>
      </c>
      <c r="B28" s="14">
        <f>B26-B27</f>
        <v/>
      </c>
    </row>
    <row r="29" ht="24" customHeight="1">
      <c r="A29" s="10" t="inlineStr">
        <is>
          <t>معدل ضريبة القيمة المضافة</t>
        </is>
      </c>
      <c r="B29" s="16" t="n">
        <v>0.15</v>
      </c>
    </row>
    <row r="30"/>
    <row r="31" ht="28" customHeight="1">
      <c r="A31" s="3" t="inlineStr">
        <is>
          <t>الزكاة (Zakat)</t>
        </is>
      </c>
    </row>
    <row r="32" ht="24" customHeight="1">
      <c r="A32" s="10" t="inlineStr">
        <is>
          <t>صافي الربح السنوي (ر.س)</t>
        </is>
      </c>
      <c r="B32" s="11" t="n">
        <v>480000</v>
      </c>
    </row>
    <row r="33" ht="24" customHeight="1">
      <c r="A33" s="10" t="inlineStr">
        <is>
          <t>معدل الزكاة</t>
        </is>
      </c>
      <c r="B33" s="28" t="n">
        <v>0.025</v>
      </c>
    </row>
    <row r="34" ht="24" customHeight="1">
      <c r="A34" s="10" t="inlineStr">
        <is>
          <t>الزكاة السنوية المستحقة</t>
        </is>
      </c>
      <c r="B34" s="14">
        <f>B32*B33</f>
        <v/>
      </c>
    </row>
    <row r="35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A1:J1"/>
    <mergeCell ref="A31:J31"/>
    <mergeCell ref="A15:J15"/>
    <mergeCell ref="A4:J4"/>
    <mergeCell ref="A24:J24"/>
    <mergeCell ref="A2:J2"/>
  </mergeCells>
  <dataValidations count="2">
    <dataValidation sqref="B13" showDropDown="0" showInputMessage="0" showErrorMessage="0" allowBlank="1" type="list">
      <formula1>"نعم,لا"</formula1>
    </dataValidation>
    <dataValidation sqref="B17:B21" showDropDown="0" showInputMessage="0" showErrorMessage="0" allowBlank="1" type="list">
      <formula1>"سعودي,وافد"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B365D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1.5" customWidth="1" min="1" max="1"/>
    <col width="21" customWidth="1" min="2" max="2"/>
    <col width="23.5" customWidth="1" min="3" max="3"/>
    <col width="30.5" customWidth="1" min="4" max="4"/>
    <col width="18" customWidth="1" min="5" max="5"/>
    <col width="19.5" customWidth="1" min="6" max="6"/>
    <col width="24.25" customWidth="1" min="7" max="7"/>
    <col width="20" customWidth="1" min="8" max="8"/>
  </cols>
  <sheetData>
    <row r="1" ht="36" customHeight="1">
      <c r="A1" s="1" t="inlineStr">
        <is>
          <t>التكلفة الأولية وهندسة المنيو — Plate Costing &amp; Menu Engineering</t>
        </is>
      </c>
    </row>
    <row r="2" ht="24" customHeight="1">
      <c r="A2" s="2" t="inlineStr">
        <is>
          <t>سعر الطبق، تكلفته، هامشه، وتصنيفه (نجم / حصان الجر / لغز / كلب) — الفصلان 4 و7</t>
        </is>
      </c>
    </row>
    <row r="3"/>
    <row r="4" ht="28" customHeight="1">
      <c r="A4" s="3" t="inlineStr">
        <is>
          <t>مصفوفة هندسة المنيو</t>
        </is>
      </c>
    </row>
    <row r="5" ht="30" customHeight="1">
      <c r="A5" s="21" t="inlineStr">
        <is>
          <t>الطبق</t>
        </is>
      </c>
      <c r="B5" s="21" t="inlineStr">
        <is>
          <t>سعر البيع (ر.س)</t>
        </is>
      </c>
      <c r="C5" s="21" t="inlineStr">
        <is>
          <t>تكلفة الطبق (ر.س)</t>
        </is>
      </c>
      <c r="D5" s="21" t="inlineStr">
        <is>
          <t>الوحدات المباعة شهرياً</t>
        </is>
      </c>
      <c r="E5" s="21" t="inlineStr">
        <is>
          <t>هامش الوحدة</t>
        </is>
      </c>
      <c r="F5" s="21" t="inlineStr">
        <is>
          <t>إجمالي الهامش</t>
        </is>
      </c>
      <c r="G5" s="21" t="inlineStr">
        <is>
          <t>نسبة تكلفة الطعام</t>
        </is>
      </c>
      <c r="H5" s="21" t="inlineStr">
        <is>
          <t>تصنيف المنيو</t>
        </is>
      </c>
    </row>
    <row r="6" ht="26" customHeight="1">
      <c r="A6" s="18" t="inlineStr">
        <is>
          <t>كبسة لحم</t>
        </is>
      </c>
      <c r="B6" s="11" t="n">
        <v>48</v>
      </c>
      <c r="C6" s="11" t="n">
        <v>16</v>
      </c>
      <c r="D6" s="11" t="n">
        <v>320</v>
      </c>
      <c r="E6" s="14">
        <f>B6-C6</f>
        <v/>
      </c>
      <c r="F6" s="14">
        <f>D6*E6</f>
        <v/>
      </c>
      <c r="G6" s="15">
        <f>IF(B6&gt;0,C6/B6,0)</f>
        <v/>
      </c>
      <c r="H6" s="17">
        <f>IF(AND(E6&gt;$B$14,D6&gt;$B$13),"نجم ★",IF(AND(E6&lt;$B$14,D6&gt;$B$13),"حصان الجر",IF(AND(E6&gt;$B$14,D6&lt;$B$13),"لغز","كلب")))</f>
        <v/>
      </c>
    </row>
    <row r="7" ht="26" customHeight="1">
      <c r="A7" s="27" t="inlineStr">
        <is>
          <t>مندي دجاج</t>
        </is>
      </c>
      <c r="B7" s="11" t="n">
        <v>38</v>
      </c>
      <c r="C7" s="11" t="n">
        <v>14</v>
      </c>
      <c r="D7" s="11" t="n">
        <v>520</v>
      </c>
      <c r="E7" s="14">
        <f>B7-C7</f>
        <v/>
      </c>
      <c r="F7" s="14">
        <f>D7*E7</f>
        <v/>
      </c>
      <c r="G7" s="15">
        <f>IF(B7&gt;0,C7/B7,0)</f>
        <v/>
      </c>
      <c r="H7" s="17">
        <f>IF(AND(E7&gt;$B$14,D7&gt;$B$13),"نجم ★",IF(AND(E7&lt;$B$14,D7&gt;$B$13),"حصان الجر",IF(AND(E7&gt;$B$14,D7&lt;$B$13),"لغز","كلب")))</f>
        <v/>
      </c>
    </row>
    <row r="8" ht="26" customHeight="1">
      <c r="A8" s="18" t="inlineStr">
        <is>
          <t>مطازيز</t>
        </is>
      </c>
      <c r="B8" s="11" t="n">
        <v>42</v>
      </c>
      <c r="C8" s="11" t="n">
        <v>18</v>
      </c>
      <c r="D8" s="11" t="n">
        <v>200</v>
      </c>
      <c r="E8" s="14">
        <f>B8-C8</f>
        <v/>
      </c>
      <c r="F8" s="14">
        <f>D8*E8</f>
        <v/>
      </c>
      <c r="G8" s="15">
        <f>IF(B8&gt;0,C8/B8,0)</f>
        <v/>
      </c>
      <c r="H8" s="17">
        <f>IF(AND(E8&gt;$B$14,D8&gt;$B$13),"نجم ★",IF(AND(E8&lt;$B$14,D8&gt;$B$13),"حصان الجر",IF(AND(E8&gt;$B$14,D8&lt;$B$13),"لغز","كلب")))</f>
        <v/>
      </c>
    </row>
    <row r="9" ht="26" customHeight="1">
      <c r="A9" s="27" t="inlineStr">
        <is>
          <t>سمك مشوي</t>
        </is>
      </c>
      <c r="B9" s="11" t="n">
        <v>65</v>
      </c>
      <c r="C9" s="11" t="n">
        <v>30</v>
      </c>
      <c r="D9" s="11" t="n">
        <v>430</v>
      </c>
      <c r="E9" s="14">
        <f>B9-C9</f>
        <v/>
      </c>
      <c r="F9" s="14">
        <f>D9*E9</f>
        <v/>
      </c>
      <c r="G9" s="15">
        <f>IF(B9&gt;0,C9/B9,0)</f>
        <v/>
      </c>
      <c r="H9" s="17">
        <f>IF(AND(E9&gt;$B$14,D9&gt;$B$13),"نجم ★",IF(AND(E9&lt;$B$14,D9&gt;$B$13),"حصان الجر",IF(AND(E9&gt;$B$14,D9&lt;$B$13),"لغز","كلب")))</f>
        <v/>
      </c>
    </row>
    <row r="10" ht="26" customHeight="1">
      <c r="A10" s="18" t="inlineStr">
        <is>
          <t>مشويات مشكلة</t>
        </is>
      </c>
      <c r="B10" s="11" t="n">
        <v>75</v>
      </c>
      <c r="C10" s="11" t="n">
        <v>28</v>
      </c>
      <c r="D10" s="11" t="n">
        <v>470</v>
      </c>
      <c r="E10" s="14">
        <f>B10-C10</f>
        <v/>
      </c>
      <c r="F10" s="14">
        <f>D10*E10</f>
        <v/>
      </c>
      <c r="G10" s="15">
        <f>IF(B10&gt;0,C10/B10,0)</f>
        <v/>
      </c>
      <c r="H10" s="17">
        <f>IF(AND(E10&gt;$B$14,D10&gt;$B$13),"نجم ★",IF(AND(E10&lt;$B$14,D10&gt;$B$13),"حصان الجر",IF(AND(E10&gt;$B$14,D10&lt;$B$13),"لغز","كلب")))</f>
        <v/>
      </c>
    </row>
    <row r="11" ht="26" customHeight="1">
      <c r="A11" s="27" t="inlineStr">
        <is>
          <t>مقبلات</t>
        </is>
      </c>
      <c r="B11" s="11" t="n">
        <v>25</v>
      </c>
      <c r="C11" s="11" t="n">
        <v>12</v>
      </c>
      <c r="D11" s="11" t="n">
        <v>380</v>
      </c>
      <c r="E11" s="14">
        <f>B11-C11</f>
        <v/>
      </c>
      <c r="F11" s="14">
        <f>D11*E11</f>
        <v/>
      </c>
      <c r="G11" s="15">
        <f>IF(B11&gt;0,C11/B11,0)</f>
        <v/>
      </c>
      <c r="H11" s="17">
        <f>IF(AND(E11&gt;$B$14,D11&gt;$B$13),"نجم ★",IF(AND(E11&lt;$B$14,D11&gt;$B$13),"حصان الجر",IF(AND(E11&gt;$B$14,D11&lt;$B$13),"لغز","كلب")))</f>
        <v/>
      </c>
    </row>
    <row r="12" ht="26" customHeight="1">
      <c r="A12" s="18" t="inlineStr">
        <is>
          <t>حلويات</t>
        </is>
      </c>
      <c r="B12" s="11" t="n">
        <v>18</v>
      </c>
      <c r="C12" s="11" t="n">
        <v>9</v>
      </c>
      <c r="D12" s="11" t="n">
        <v>280</v>
      </c>
      <c r="E12" s="14">
        <f>B12-C12</f>
        <v/>
      </c>
      <c r="F12" s="14">
        <f>D12*E12</f>
        <v/>
      </c>
      <c r="G12" s="15">
        <f>IF(B12&gt;0,C12/B12,0)</f>
        <v/>
      </c>
      <c r="H12" s="17">
        <f>IF(AND(E12&gt;$B$14,D12&gt;$B$13),"نجم ★",IF(AND(E12&lt;$B$14,D12&gt;$B$13),"حصان الجر",IF(AND(E12&gt;$B$14,D12&lt;$B$13),"لغز","كلب")))</f>
        <v/>
      </c>
    </row>
    <row r="13" ht="26" customHeight="1">
      <c r="A13" s="10" t="inlineStr">
        <is>
          <t>متوسط الوحدات المباعة</t>
        </is>
      </c>
      <c r="B13" s="14">
        <f>AVERAGE(D6:D12)</f>
        <v/>
      </c>
    </row>
    <row r="14" ht="26" customHeight="1">
      <c r="A14" s="10" t="inlineStr">
        <is>
          <t>متوسط هامش الوحدة</t>
        </is>
      </c>
      <c r="B14" s="14">
        <f>AVERAGE(E6:E12)</f>
        <v/>
      </c>
    </row>
    <row r="15" ht="26" customHeight="1">
      <c r="A15" s="10" t="inlineStr">
        <is>
          <t>متوسط نسبة تكلفة الطعام</t>
        </is>
      </c>
      <c r="B15" s="15">
        <f>AVERAGE(G6:G12)</f>
        <v/>
      </c>
    </row>
    <row r="16"/>
    <row r="17" ht="28" customHeight="1">
      <c r="A17" s="3" t="inlineStr">
        <is>
          <t>التوصيات</t>
        </is>
      </c>
    </row>
    <row r="18" ht="22" customHeight="1">
      <c r="A18" s="29" t="inlineStr">
        <is>
          <t>النجم ★: هامش مرتفع وشعبية عالية — ركّز التسويق عليه واجعل منه المفضّل.</t>
        </is>
      </c>
    </row>
    <row r="19" ht="22" customHeight="1">
      <c r="A19" s="29" t="inlineStr">
        <is>
          <t>حصان الجر: شعبي جداً لكن هامشه منخفض — ارفع سعره بحذر أو قلّل تكلفة مكوناته.</t>
        </is>
      </c>
    </row>
    <row r="20" ht="22" customHeight="1">
      <c r="A20" s="29" t="inlineStr">
        <is>
          <t>اللغز: هامش ممتاز لكن مبيعاته ضعيفة — حسّن عرضه أو ادمجه في عروض.</t>
        </is>
      </c>
    </row>
    <row r="21" ht="22" customHeight="1">
      <c r="A21" s="29" t="inlineStr">
        <is>
          <t>كلب: هامش ومبيعات منخفضان — أعد تسعيره أو احذفه من المنيو.</t>
        </is>
      </c>
    </row>
    <row r="2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18:H18"/>
    <mergeCell ref="A4:H4"/>
    <mergeCell ref="A21:H21"/>
    <mergeCell ref="A20:H20"/>
    <mergeCell ref="A2:H2"/>
    <mergeCell ref="A19:H19"/>
    <mergeCell ref="A1:H1"/>
    <mergeCell ref="A17:H17"/>
  </mergeCells>
  <conditionalFormatting sqref="H6:H12">
    <cfRule type="expression" priority="1" dxfId="0">
      <formula>ISNUMBER(SEARCH("نجم",H6))</formula>
    </cfRule>
    <cfRule type="expression" priority="2" dxfId="1">
      <formula>ISNUMBER(SEARCH("لغز",H6))</formula>
    </cfRule>
    <cfRule type="expression" priority="3" dxfId="2">
      <formula>ISNUMBER(SEARCH("حصان",H6))</formula>
    </cfRule>
    <cfRule type="expression" priority="4" dxfId="3">
      <formula>ISNUMBER(SEARCH("كلب",H6))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B365D"/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.75" customWidth="1" min="2" max="2"/>
    <col width="1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36" customHeight="1">
      <c r="A1" s="1" t="inlineStr">
        <is>
          <t>كشف التدفق النقدي الجنائي — 12 شهراً</t>
        </is>
      </c>
    </row>
    <row r="2" ht="24" customHeight="1">
      <c r="A2" s="2" t="inlineStr">
        <is>
          <t>أين تختفي الأرباح؟ تتبع كل ريال شهرياً + فحص التسريبات الخفية — الفصلان 5 و8</t>
        </is>
      </c>
    </row>
    <row r="3"/>
    <row r="4" ht="28" customHeight="1">
      <c r="A4" s="3" t="inlineStr">
        <is>
          <t>التدفقات النقدية الشهرية — أدخل أرقامك في الخلايا ذات الإطار الذهبي</t>
        </is>
      </c>
    </row>
    <row r="5" ht="30" customHeight="1">
      <c r="A5" s="21" t="inlineStr">
        <is>
          <t>البند</t>
        </is>
      </c>
      <c r="B5" s="21" t="inlineStr">
        <is>
          <t>يناير</t>
        </is>
      </c>
      <c r="C5" s="21" t="inlineStr">
        <is>
          <t>فبراير</t>
        </is>
      </c>
      <c r="D5" s="21" t="inlineStr">
        <is>
          <t>مارس</t>
        </is>
      </c>
      <c r="E5" s="21" t="inlineStr">
        <is>
          <t>أبريل</t>
        </is>
      </c>
      <c r="F5" s="21" t="inlineStr">
        <is>
          <t>مايو</t>
        </is>
      </c>
      <c r="G5" s="21" t="inlineStr">
        <is>
          <t>يونيو</t>
        </is>
      </c>
      <c r="H5" s="21" t="inlineStr">
        <is>
          <t>يوليو</t>
        </is>
      </c>
      <c r="I5" s="21" t="inlineStr">
        <is>
          <t>أغسطس</t>
        </is>
      </c>
      <c r="J5" s="21" t="inlineStr">
        <is>
          <t>سبتمبر</t>
        </is>
      </c>
      <c r="K5" s="21" t="inlineStr">
        <is>
          <t>أكتوبر</t>
        </is>
      </c>
      <c r="L5" s="21" t="inlineStr">
        <is>
          <t>نوفمبر</t>
        </is>
      </c>
      <c r="M5" s="21" t="inlineStr">
        <is>
          <t>ديسمبر</t>
        </is>
      </c>
      <c r="N5" s="21" t="inlineStr">
        <is>
          <t>الإجمالي</t>
        </is>
      </c>
    </row>
    <row r="6" ht="24" customHeight="1">
      <c r="A6" s="10" t="inlineStr">
        <is>
          <t>المبيعات النقدية</t>
        </is>
      </c>
      <c r="B6" s="11" t="n">
        <v>270000</v>
      </c>
      <c r="C6" s="11" t="n">
        <v>440000</v>
      </c>
      <c r="D6" s="11" t="n">
        <v>270000</v>
      </c>
      <c r="E6" s="11" t="n">
        <v>270000</v>
      </c>
      <c r="F6" s="11" t="n">
        <v>440000</v>
      </c>
      <c r="G6" s="11" t="n">
        <v>270000</v>
      </c>
      <c r="H6" s="11" t="n">
        <v>270000</v>
      </c>
      <c r="I6" s="11" t="n">
        <v>440000</v>
      </c>
      <c r="J6" s="11" t="n">
        <v>270000</v>
      </c>
      <c r="K6" s="11" t="n">
        <v>270000</v>
      </c>
      <c r="L6" s="11" t="n">
        <v>440000</v>
      </c>
      <c r="M6" s="11" t="n">
        <v>270000</v>
      </c>
      <c r="N6" s="14">
        <f>SUM(B6:M6)</f>
        <v/>
      </c>
    </row>
    <row r="7" ht="24" customHeight="1">
      <c r="A7" s="10" t="inlineStr">
        <is>
          <t>تحصيل المبيعات الآجلة</t>
        </is>
      </c>
      <c r="B7" s="11" t="n">
        <v>10000</v>
      </c>
      <c r="C7" s="11" t="n">
        <v>10000</v>
      </c>
      <c r="D7" s="11" t="n">
        <v>10000</v>
      </c>
      <c r="E7" s="11" t="n">
        <v>10000</v>
      </c>
      <c r="F7" s="11" t="n">
        <v>10000</v>
      </c>
      <c r="G7" s="11" t="n">
        <v>10000</v>
      </c>
      <c r="H7" s="11" t="n">
        <v>10000</v>
      </c>
      <c r="I7" s="11" t="n">
        <v>10000</v>
      </c>
      <c r="J7" s="11" t="n">
        <v>10000</v>
      </c>
      <c r="K7" s="11" t="n">
        <v>10000</v>
      </c>
      <c r="L7" s="11" t="n">
        <v>10000</v>
      </c>
      <c r="M7" s="11" t="n">
        <v>10000</v>
      </c>
      <c r="N7" s="14">
        <f>SUM(B7:M7)</f>
        <v/>
      </c>
    </row>
    <row r="8" ht="24" customHeight="1">
      <c r="A8" s="10" t="inlineStr">
        <is>
          <t>إجمالي الداخل</t>
        </is>
      </c>
      <c r="B8" s="14">
        <f>B6+B7</f>
        <v/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  <c r="J8" s="14">
        <f>J6+J7</f>
        <v/>
      </c>
      <c r="K8" s="14">
        <f>K6+K7</f>
        <v/>
      </c>
      <c r="L8" s="14">
        <f>L6+L7</f>
        <v/>
      </c>
      <c r="M8" s="14">
        <f>M6+M7</f>
        <v/>
      </c>
      <c r="N8" s="14">
        <f>SUM(B8:M8)</f>
        <v/>
      </c>
    </row>
    <row r="9"/>
    <row r="10" ht="22" customHeight="1">
      <c r="A10" s="18" t="inlineStr">
        <is>
          <t>شراء المواد الأولية</t>
        </is>
      </c>
      <c r="B10" s="11" t="n">
        <v>105000</v>
      </c>
      <c r="C10" s="11" t="n">
        <v>105000</v>
      </c>
      <c r="D10" s="11" t="n">
        <v>105000</v>
      </c>
      <c r="E10" s="11" t="n">
        <v>105000</v>
      </c>
      <c r="F10" s="11" t="n">
        <v>105000</v>
      </c>
      <c r="G10" s="11" t="n">
        <v>105000</v>
      </c>
      <c r="H10" s="11" t="n">
        <v>105000</v>
      </c>
      <c r="I10" s="11" t="n">
        <v>105000</v>
      </c>
      <c r="J10" s="11" t="n">
        <v>105000</v>
      </c>
      <c r="K10" s="11" t="n">
        <v>105000</v>
      </c>
      <c r="L10" s="11" t="n">
        <v>105000</v>
      </c>
      <c r="M10" s="11" t="n">
        <v>105000</v>
      </c>
      <c r="N10" s="14">
        <f>SUM(B10:M10)</f>
        <v/>
      </c>
    </row>
    <row r="11" ht="22" customHeight="1">
      <c r="A11" s="27" t="inlineStr">
        <is>
          <t>الرواتب والأجور</t>
        </is>
      </c>
      <c r="B11" s="11" t="n">
        <v>88000</v>
      </c>
      <c r="C11" s="11" t="n">
        <v>88000</v>
      </c>
      <c r="D11" s="11" t="n">
        <v>88000</v>
      </c>
      <c r="E11" s="11" t="n">
        <v>88000</v>
      </c>
      <c r="F11" s="11" t="n">
        <v>88000</v>
      </c>
      <c r="G11" s="11" t="n">
        <v>88000</v>
      </c>
      <c r="H11" s="11" t="n">
        <v>88000</v>
      </c>
      <c r="I11" s="11" t="n">
        <v>88000</v>
      </c>
      <c r="J11" s="11" t="n">
        <v>88000</v>
      </c>
      <c r="K11" s="11" t="n">
        <v>88000</v>
      </c>
      <c r="L11" s="11" t="n">
        <v>88000</v>
      </c>
      <c r="M11" s="11" t="n">
        <v>88000</v>
      </c>
      <c r="N11" s="14">
        <f>SUM(B11:M11)</f>
        <v/>
      </c>
    </row>
    <row r="12" ht="22" customHeight="1">
      <c r="A12" s="18" t="inlineStr">
        <is>
          <t>الإيجار</t>
        </is>
      </c>
      <c r="B12" s="11" t="n">
        <v>40000</v>
      </c>
      <c r="C12" s="11" t="n">
        <v>40000</v>
      </c>
      <c r="D12" s="11" t="n">
        <v>40000</v>
      </c>
      <c r="E12" s="11" t="n">
        <v>40000</v>
      </c>
      <c r="F12" s="11" t="n">
        <v>40000</v>
      </c>
      <c r="G12" s="11" t="n">
        <v>40000</v>
      </c>
      <c r="H12" s="11" t="n">
        <v>40000</v>
      </c>
      <c r="I12" s="11" t="n">
        <v>40000</v>
      </c>
      <c r="J12" s="11" t="n">
        <v>40000</v>
      </c>
      <c r="K12" s="11" t="n">
        <v>40000</v>
      </c>
      <c r="L12" s="11" t="n">
        <v>40000</v>
      </c>
      <c r="M12" s="11" t="n">
        <v>40000</v>
      </c>
      <c r="N12" s="14">
        <f>SUM(B12:M12)</f>
        <v/>
      </c>
    </row>
    <row r="13" ht="22" customHeight="1">
      <c r="A13" s="27" t="inlineStr">
        <is>
          <t>المرافق (كهرباء/ماء/غاز)</t>
        </is>
      </c>
      <c r="B13" s="11" t="n">
        <v>12000</v>
      </c>
      <c r="C13" s="11" t="n">
        <v>12000</v>
      </c>
      <c r="D13" s="11" t="n">
        <v>12000</v>
      </c>
      <c r="E13" s="11" t="n">
        <v>12000</v>
      </c>
      <c r="F13" s="11" t="n">
        <v>12000</v>
      </c>
      <c r="G13" s="11" t="n">
        <v>12000</v>
      </c>
      <c r="H13" s="11" t="n">
        <v>12000</v>
      </c>
      <c r="I13" s="11" t="n">
        <v>12000</v>
      </c>
      <c r="J13" s="11" t="n">
        <v>12000</v>
      </c>
      <c r="K13" s="11" t="n">
        <v>12000</v>
      </c>
      <c r="L13" s="11" t="n">
        <v>12000</v>
      </c>
      <c r="M13" s="11" t="n">
        <v>12000</v>
      </c>
      <c r="N13" s="14">
        <f>SUM(B13:M13)</f>
        <v/>
      </c>
    </row>
    <row r="14" ht="22" customHeight="1">
      <c r="A14" s="18" t="inlineStr">
        <is>
          <t>التسويق والدعاية</t>
        </is>
      </c>
      <c r="B14" s="11" t="n">
        <v>8000</v>
      </c>
      <c r="C14" s="11" t="n">
        <v>8000</v>
      </c>
      <c r="D14" s="11" t="n">
        <v>8000</v>
      </c>
      <c r="E14" s="11" t="n">
        <v>8000</v>
      </c>
      <c r="F14" s="11" t="n">
        <v>8000</v>
      </c>
      <c r="G14" s="11" t="n">
        <v>8000</v>
      </c>
      <c r="H14" s="11" t="n">
        <v>8000</v>
      </c>
      <c r="I14" s="11" t="n">
        <v>8000</v>
      </c>
      <c r="J14" s="11" t="n">
        <v>8000</v>
      </c>
      <c r="K14" s="11" t="n">
        <v>8000</v>
      </c>
      <c r="L14" s="11" t="n">
        <v>8000</v>
      </c>
      <c r="M14" s="11" t="n">
        <v>8000</v>
      </c>
      <c r="N14" s="14">
        <f>SUM(B14:M14)</f>
        <v/>
      </c>
    </row>
    <row r="15" ht="22" customHeight="1">
      <c r="A15" s="27" t="inlineStr">
        <is>
          <t>الصيانة</t>
        </is>
      </c>
      <c r="B15" s="11" t="n">
        <v>6000</v>
      </c>
      <c r="C15" s="11" t="n">
        <v>6000</v>
      </c>
      <c r="D15" s="11" t="n">
        <v>6000</v>
      </c>
      <c r="E15" s="11" t="n">
        <v>6000</v>
      </c>
      <c r="F15" s="11" t="n">
        <v>6000</v>
      </c>
      <c r="G15" s="11" t="n">
        <v>6000</v>
      </c>
      <c r="H15" s="11" t="n">
        <v>6000</v>
      </c>
      <c r="I15" s="11" t="n">
        <v>6000</v>
      </c>
      <c r="J15" s="11" t="n">
        <v>6000</v>
      </c>
      <c r="K15" s="11" t="n">
        <v>6000</v>
      </c>
      <c r="L15" s="11" t="n">
        <v>6000</v>
      </c>
      <c r="M15" s="11" t="n">
        <v>6000</v>
      </c>
      <c r="N15" s="14">
        <f>SUM(B15:M15)</f>
        <v/>
      </c>
    </row>
    <row r="16" ht="22" customHeight="1">
      <c r="A16" s="18" t="inlineStr">
        <is>
          <t>المصاريف الحكومية (إقامات/تأمين/تراخيص)</t>
        </is>
      </c>
      <c r="B16" s="11" t="n">
        <v>15000</v>
      </c>
      <c r="C16" s="11" t="n">
        <v>15000</v>
      </c>
      <c r="D16" s="11" t="n">
        <v>15000</v>
      </c>
      <c r="E16" s="11" t="n">
        <v>15000</v>
      </c>
      <c r="F16" s="11" t="n">
        <v>15000</v>
      </c>
      <c r="G16" s="11" t="n">
        <v>15000</v>
      </c>
      <c r="H16" s="11" t="n">
        <v>15000</v>
      </c>
      <c r="I16" s="11" t="n">
        <v>15000</v>
      </c>
      <c r="J16" s="11" t="n">
        <v>15000</v>
      </c>
      <c r="K16" s="11" t="n">
        <v>15000</v>
      </c>
      <c r="L16" s="11" t="n">
        <v>15000</v>
      </c>
      <c r="M16" s="11" t="n">
        <v>15000</v>
      </c>
      <c r="N16" s="14">
        <f>SUM(B16:M16)</f>
        <v/>
      </c>
    </row>
    <row r="17" ht="22" customHeight="1">
      <c r="A17" s="27" t="inlineStr">
        <is>
          <t>مصروفات أخرى</t>
        </is>
      </c>
      <c r="B17" s="11" t="n">
        <v>9000</v>
      </c>
      <c r="C17" s="11" t="n">
        <v>9000</v>
      </c>
      <c r="D17" s="11" t="n">
        <v>9000</v>
      </c>
      <c r="E17" s="11" t="n">
        <v>9000</v>
      </c>
      <c r="F17" s="11" t="n">
        <v>9000</v>
      </c>
      <c r="G17" s="11" t="n">
        <v>9000</v>
      </c>
      <c r="H17" s="11" t="n">
        <v>9000</v>
      </c>
      <c r="I17" s="11" t="n">
        <v>9000</v>
      </c>
      <c r="J17" s="11" t="n">
        <v>9000</v>
      </c>
      <c r="K17" s="11" t="n">
        <v>9000</v>
      </c>
      <c r="L17" s="11" t="n">
        <v>9000</v>
      </c>
      <c r="M17" s="11" t="n">
        <v>9000</v>
      </c>
      <c r="N17" s="14">
        <f>SUM(B17:M17)</f>
        <v/>
      </c>
    </row>
    <row r="18" ht="26" customHeight="1">
      <c r="A18" s="10" t="inlineStr">
        <is>
          <t>إجمالي الخارج</t>
        </is>
      </c>
      <c r="B18" s="14">
        <f>SUM(B10:B17)</f>
        <v/>
      </c>
      <c r="C18" s="14">
        <f>SUM(C10:C17)</f>
        <v/>
      </c>
      <c r="D18" s="14">
        <f>SUM(D10:D17)</f>
        <v/>
      </c>
      <c r="E18" s="14">
        <f>SUM(E10:E17)</f>
        <v/>
      </c>
      <c r="F18" s="14">
        <f>SUM(F10:F17)</f>
        <v/>
      </c>
      <c r="G18" s="14">
        <f>SUM(G10:G17)</f>
        <v/>
      </c>
      <c r="H18" s="14">
        <f>SUM(H10:H17)</f>
        <v/>
      </c>
      <c r="I18" s="14">
        <f>SUM(I10:I17)</f>
        <v/>
      </c>
      <c r="J18" s="14">
        <f>SUM(J10:J17)</f>
        <v/>
      </c>
      <c r="K18" s="14">
        <f>SUM(K10:K17)</f>
        <v/>
      </c>
      <c r="L18" s="14">
        <f>SUM(L10:L17)</f>
        <v/>
      </c>
      <c r="M18" s="14">
        <f>SUM(M10:M17)</f>
        <v/>
      </c>
      <c r="N18" s="14">
        <f>SUM(B18:M18)</f>
        <v/>
      </c>
    </row>
    <row r="19"/>
    <row r="20" ht="26" customHeight="1">
      <c r="A20" s="10" t="inlineStr">
        <is>
          <t>صافي التدفق</t>
        </is>
      </c>
      <c r="B20" s="14">
        <f>B8-B18</f>
        <v/>
      </c>
      <c r="C20" s="14">
        <f>C8-C18</f>
        <v/>
      </c>
      <c r="D20" s="14">
        <f>D8-D18</f>
        <v/>
      </c>
      <c r="E20" s="14">
        <f>E8-E18</f>
        <v/>
      </c>
      <c r="F20" s="14">
        <f>F8-F18</f>
        <v/>
      </c>
      <c r="G20" s="14">
        <f>G8-G18</f>
        <v/>
      </c>
      <c r="H20" s="14">
        <f>H8-H18</f>
        <v/>
      </c>
      <c r="I20" s="14">
        <f>I8-I18</f>
        <v/>
      </c>
      <c r="J20" s="14">
        <f>J8-J18</f>
        <v/>
      </c>
      <c r="K20" s="14">
        <f>K8-K18</f>
        <v/>
      </c>
      <c r="L20" s="14">
        <f>L8-L18</f>
        <v/>
      </c>
      <c r="M20" s="14">
        <f>M8-M18</f>
        <v/>
      </c>
      <c r="N20" s="14">
        <f>N8-N18</f>
        <v/>
      </c>
    </row>
    <row r="21" ht="26" customHeight="1">
      <c r="A21" s="10" t="inlineStr">
        <is>
          <t>الرصيد الافتتاحي</t>
        </is>
      </c>
      <c r="B21" s="11" t="n">
        <v>25000</v>
      </c>
      <c r="C21" s="14">
        <f>B22</f>
        <v/>
      </c>
      <c r="D21" s="14">
        <f>C22</f>
        <v/>
      </c>
      <c r="E21" s="14">
        <f>D22</f>
        <v/>
      </c>
      <c r="F21" s="14">
        <f>E22</f>
        <v/>
      </c>
      <c r="G21" s="14">
        <f>F22</f>
        <v/>
      </c>
      <c r="H21" s="14">
        <f>G22</f>
        <v/>
      </c>
      <c r="I21" s="14">
        <f>H22</f>
        <v/>
      </c>
      <c r="J21" s="14">
        <f>I22</f>
        <v/>
      </c>
      <c r="K21" s="14">
        <f>J22</f>
        <v/>
      </c>
      <c r="L21" s="14">
        <f>K22</f>
        <v/>
      </c>
      <c r="M21" s="14">
        <f>L22</f>
        <v/>
      </c>
      <c r="N21" s="14">
        <f>SUM(B21:M21)</f>
        <v/>
      </c>
    </row>
    <row r="22" ht="26" customHeight="1">
      <c r="A22" s="10" t="inlineStr">
        <is>
          <t>الرصيد الختامي</t>
        </is>
      </c>
      <c r="B22" s="14">
        <f>B21+B20</f>
        <v/>
      </c>
      <c r="C22" s="14">
        <f>C21+C20</f>
        <v/>
      </c>
      <c r="D22" s="14">
        <f>D21+D20</f>
        <v/>
      </c>
      <c r="E22" s="14">
        <f>E21+E20</f>
        <v/>
      </c>
      <c r="F22" s="14">
        <f>F21+F20</f>
        <v/>
      </c>
      <c r="G22" s="14">
        <f>G21+G20</f>
        <v/>
      </c>
      <c r="H22" s="14">
        <f>H21+H20</f>
        <v/>
      </c>
      <c r="I22" s="14">
        <f>I21+I20</f>
        <v/>
      </c>
      <c r="J22" s="14">
        <f>J21+J20</f>
        <v/>
      </c>
      <c r="K22" s="14">
        <f>K21+K20</f>
        <v/>
      </c>
      <c r="L22" s="14">
        <f>L21+L20</f>
        <v/>
      </c>
      <c r="M22" s="14">
        <f>M21+M20</f>
        <v/>
      </c>
      <c r="N22" s="14">
        <f>N21+N20</f>
        <v/>
      </c>
    </row>
    <row r="23"/>
    <row r="24" ht="28" customHeight="1">
      <c r="A24" s="3" t="inlineStr">
        <is>
          <t>فحص التسريبات الخفية (Forensic Leak Scan)</t>
        </is>
      </c>
    </row>
    <row r="25" ht="30" customHeight="1">
      <c r="A25" s="21" t="inlineStr">
        <is>
          <t>المؤشر</t>
        </is>
      </c>
      <c r="B25" s="21" t="inlineStr">
        <is>
          <t>القيمة الفعلية</t>
        </is>
      </c>
      <c r="C25" s="21" t="inlineStr">
        <is>
          <t>الحد الأقصى</t>
        </is>
      </c>
      <c r="D25" s="21" t="inlineStr">
        <is>
          <t>الحالة</t>
        </is>
      </c>
      <c r="E25" s="21" t="inlineStr">
        <is>
          <t>الشرح</t>
        </is>
      </c>
    </row>
    <row r="26" ht="24" customHeight="1">
      <c r="A26" s="10" t="inlineStr">
        <is>
          <t>نسبة المواد الأولية</t>
        </is>
      </c>
      <c r="B26" s="15">
        <f>IF(N8&gt;0,N10/N8,0)</f>
        <v/>
      </c>
      <c r="C26" s="15" t="n">
        <v>0.4</v>
      </c>
      <c r="D26" s="17">
        <f>IF(B26&gt;C26,"تسريب!","سليم")</f>
        <v/>
      </c>
      <c r="E26" s="30" t="inlineStr">
        <is>
          <t>المواد &gt; 40% من الإيرادات</t>
        </is>
      </c>
    </row>
    <row r="27" ht="24" customHeight="1">
      <c r="A27" s="13" t="inlineStr">
        <is>
          <t>نسبة العمالة</t>
        </is>
      </c>
      <c r="B27" s="15">
        <f>IF(N8&gt;0,N11/N8,0)</f>
        <v/>
      </c>
      <c r="C27" s="15" t="n">
        <v>0.3</v>
      </c>
      <c r="D27" s="17">
        <f>IF(B27&gt;C27,"تسريب!","سليم")</f>
        <v/>
      </c>
      <c r="E27" s="30" t="inlineStr">
        <is>
          <t>العمالة &gt; 30%</t>
        </is>
      </c>
    </row>
    <row r="28" ht="24" customHeight="1">
      <c r="A28" s="10" t="inlineStr">
        <is>
          <t>نسبة التكلفة الأولية</t>
        </is>
      </c>
      <c r="B28" s="15">
        <f>IF(N8&gt;0,(N10+N11)/N8,0)</f>
        <v/>
      </c>
      <c r="C28" s="15" t="n">
        <v>0.65</v>
      </c>
      <c r="D28" s="17">
        <f>IF(B28&gt;C28,"تسريب!","سليم")</f>
        <v/>
      </c>
      <c r="E28" s="30" t="inlineStr">
        <is>
          <t>المواد + العمالة &gt; 65%</t>
        </is>
      </c>
    </row>
    <row r="29" ht="24" customHeight="1">
      <c r="A29" s="13" t="inlineStr">
        <is>
          <t>نسبة الإيجار</t>
        </is>
      </c>
      <c r="B29" s="15">
        <f>IF(N8&gt;0,N12/N8,0)</f>
        <v/>
      </c>
      <c r="C29" s="15" t="n">
        <v>0.1</v>
      </c>
      <c r="D29" s="17">
        <f>IF(B29&gt;C29,"تسريب!","سليم")</f>
        <v/>
      </c>
      <c r="E29" s="30" t="inlineStr">
        <is>
          <t>الإيجار &gt; 10%</t>
        </is>
      </c>
    </row>
    <row r="30" ht="24" customHeight="1">
      <c r="A30" s="10" t="inlineStr">
        <is>
          <t>نسبة التسويق</t>
        </is>
      </c>
      <c r="B30" s="15">
        <f>IF(N8&gt;0,N14/N8,0)</f>
        <v/>
      </c>
      <c r="C30" s="15" t="n">
        <v>0.05</v>
      </c>
      <c r="D30" s="17">
        <f>IF(B30&gt;C30,"تسريب!","سليم")</f>
        <v/>
      </c>
      <c r="E30" s="30" t="inlineStr">
        <is>
          <t>التسويق &gt; 5%</t>
        </is>
      </c>
    </row>
    <row r="31"/>
    <row r="32" ht="26" customHeight="1">
      <c r="A32" s="10" t="inlineStr">
        <is>
          <t>أدنى رصيد خلال العام (ر.س)</t>
        </is>
      </c>
      <c r="B32" s="14">
        <f>MIN(B22:M22)</f>
        <v/>
      </c>
    </row>
    <row r="33" ht="26" customHeight="1">
      <c r="A33" s="10" t="inlineStr">
        <is>
          <t>عدد أشهر الرصيد السالب</t>
        </is>
      </c>
      <c r="B33" s="14">
        <f>COUNTIF(B22:M22,"&lt;0")</f>
        <v/>
      </c>
    </row>
    <row r="34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E28:G28"/>
    <mergeCell ref="A4:N4"/>
    <mergeCell ref="E27:G27"/>
    <mergeCell ref="A24:N24"/>
    <mergeCell ref="A2:N2"/>
    <mergeCell ref="E26:G26"/>
    <mergeCell ref="E30:G30"/>
    <mergeCell ref="E29:G29"/>
    <mergeCell ref="A1:N1"/>
  </mergeCells>
  <conditionalFormatting sqref="B22:M22">
    <cfRule type="cellIs" priority="1" operator="lessThan" dxfId="3">
      <formula>0</formula>
    </cfRule>
  </conditionalFormatting>
  <conditionalFormatting sqref="D26:D30">
    <cfRule type="expression" priority="2" dxfId="3">
      <formula>$B26&gt;$C26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B365D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4" customWidth="1" min="3" max="3"/>
    <col width="30" customWidth="1" min="4" max="4"/>
  </cols>
  <sheetData>
    <row r="1" ht="36" customHeight="1">
      <c r="A1" s="1" t="inlineStr">
        <is>
          <t>قوائم التشغيل اليومية — Operational Checklists</t>
        </is>
      </c>
    </row>
    <row r="2" ht="24" customHeight="1">
      <c r="A2" s="2" t="inlineStr">
        <is>
          <t>قائمة الفتح والتحضير وقائمة الإغلاق — جاهزة للتصدير PDF — الفصل الثامن</t>
        </is>
      </c>
    </row>
    <row r="3"/>
    <row r="4" ht="28" customHeight="1">
      <c r="A4" s="3" t="inlineStr">
        <is>
          <t>قائمة الفتح الصباحية</t>
        </is>
      </c>
    </row>
    <row r="5" ht="30" customHeight="1">
      <c r="A5" s="21" t="inlineStr">
        <is>
          <t>البند</t>
        </is>
      </c>
      <c r="B5" s="31" t="inlineStr">
        <is>
          <t>المسؤول</t>
        </is>
      </c>
      <c r="C5" s="31" t="inlineStr">
        <is>
          <t>مكتمل؟</t>
        </is>
      </c>
      <c r="D5" s="31" t="inlineStr">
        <is>
          <t>ملاحظات</t>
        </is>
      </c>
    </row>
    <row r="6" ht="24" customHeight="1">
      <c r="A6" s="18" t="inlineStr">
        <is>
          <t>تأكد من وصول جميع الموظفين وتسجيل الدوام</t>
        </is>
      </c>
      <c r="B6" s="26" t="inlineStr">
        <is>
          <t>الموظف</t>
        </is>
      </c>
      <c r="C6" s="26" t="inlineStr">
        <is>
          <t>لا</t>
        </is>
      </c>
      <c r="D6" s="26" t="n"/>
    </row>
    <row r="7" ht="24" customHeight="1">
      <c r="A7" s="27" t="inlineStr">
        <is>
          <t>فحص نظافة قاعة الطعام والمطابخ والمخازن</t>
        </is>
      </c>
      <c r="B7" s="26" t="inlineStr">
        <is>
          <t>الموظف</t>
        </is>
      </c>
      <c r="C7" s="26" t="inlineStr">
        <is>
          <t>لا</t>
        </is>
      </c>
      <c r="D7" s="26" t="n"/>
    </row>
    <row r="8" ht="24" customHeight="1">
      <c r="A8" s="18" t="inlineStr">
        <is>
          <t>معايرة موازين المطبخ وضبط درجات الثلاجات</t>
        </is>
      </c>
      <c r="B8" s="26" t="inlineStr">
        <is>
          <t>الموظف</t>
        </is>
      </c>
      <c r="C8" s="26" t="inlineStr">
        <is>
          <t>لا</t>
        </is>
      </c>
      <c r="D8" s="26" t="n"/>
    </row>
    <row r="9" ht="24" customHeight="1">
      <c r="A9" s="27" t="inlineStr">
        <is>
          <t>تأكد من توفر المواد الأساسية في المخزن</t>
        </is>
      </c>
      <c r="B9" s="26" t="inlineStr">
        <is>
          <t>الموظف</t>
        </is>
      </c>
      <c r="C9" s="26" t="inlineStr">
        <is>
          <t>لا</t>
        </is>
      </c>
      <c r="D9" s="26" t="n"/>
    </row>
    <row r="10" ht="24" customHeight="1">
      <c r="A10" s="18" t="inlineStr">
        <is>
          <t>تحضير وتجهيز قائمة اليوم والمقبلات</t>
        </is>
      </c>
      <c r="B10" s="26" t="inlineStr">
        <is>
          <t>الموظف</t>
        </is>
      </c>
      <c r="C10" s="26" t="inlineStr">
        <is>
          <t>لا</t>
        </is>
      </c>
      <c r="D10" s="26" t="n"/>
    </row>
    <row r="11" ht="24" customHeight="1">
      <c r="A11" s="27" t="inlineStr">
        <is>
          <t>اختبار أجهزة الدفع ونظام الـ POS</t>
        </is>
      </c>
      <c r="B11" s="26" t="inlineStr">
        <is>
          <t>الموظف</t>
        </is>
      </c>
      <c r="C11" s="26" t="inlineStr">
        <is>
          <t>لا</t>
        </is>
      </c>
      <c r="D11" s="26" t="n"/>
    </row>
    <row r="12" ht="24" customHeight="1">
      <c r="A12" s="18" t="inlineStr">
        <is>
          <t>فحص أنظمة سلامة الطعام وتاريخ الصلاحية</t>
        </is>
      </c>
      <c r="B12" s="26" t="inlineStr">
        <is>
          <t>الموظف</t>
        </is>
      </c>
      <c r="C12" s="26" t="inlineStr">
        <is>
          <t>لا</t>
        </is>
      </c>
      <c r="D12" s="26" t="n"/>
    </row>
    <row r="13" ht="24" customHeight="1">
      <c r="A13" s="27" t="inlineStr">
        <is>
          <t>تجهيز صالة الطعام والطاولات</t>
        </is>
      </c>
      <c r="B13" s="26" t="inlineStr">
        <is>
          <t>الموظف</t>
        </is>
      </c>
      <c r="C13" s="26" t="inlineStr">
        <is>
          <t>لا</t>
        </is>
      </c>
      <c r="D13" s="26" t="n"/>
    </row>
    <row r="14" ht="24" customHeight="1">
      <c r="A14" s="18" t="inlineStr">
        <is>
          <t>مراجعة الحجوزات والطلبات الخاصة</t>
        </is>
      </c>
      <c r="B14" s="26" t="inlineStr">
        <is>
          <t>الموظف</t>
        </is>
      </c>
      <c r="C14" s="26" t="inlineStr">
        <is>
          <t>لا</t>
        </is>
      </c>
      <c r="D14" s="26" t="n"/>
    </row>
    <row r="15" ht="24" customHeight="1">
      <c r="A15" s="27" t="inlineStr">
        <is>
          <t>اجتماع توجيهي سريع قبل الفتح</t>
        </is>
      </c>
      <c r="B15" s="26" t="inlineStr">
        <is>
          <t>الموظف</t>
        </is>
      </c>
      <c r="C15" s="26" t="inlineStr">
        <is>
          <t>لا</t>
        </is>
      </c>
      <c r="D15" s="26" t="n"/>
    </row>
    <row r="16" ht="26" customHeight="1">
      <c r="A16" s="10" t="inlineStr">
        <is>
          <t>نسبة الإنجاز</t>
        </is>
      </c>
      <c r="B16" s="32" t="n"/>
      <c r="C16" s="33">
        <f>COUNTIF(C6:C15,"نعم")/COUNTA(C6:C15)</f>
        <v/>
      </c>
      <c r="D16" s="32" t="n"/>
    </row>
    <row r="17">
      <c r="B17" s="32" t="n"/>
      <c r="C17" s="32" t="n"/>
      <c r="D17" s="32" t="n"/>
    </row>
    <row r="18" ht="28" customHeight="1">
      <c r="A18" s="3" t="inlineStr">
        <is>
          <t>قائمة الإغلاق المسائية</t>
        </is>
      </c>
      <c r="B18" s="32" t="n"/>
      <c r="C18" s="32" t="n"/>
      <c r="D18" s="32" t="n"/>
    </row>
    <row r="19" ht="30" customHeight="1">
      <c r="A19" s="21" t="inlineStr">
        <is>
          <t>البند</t>
        </is>
      </c>
      <c r="B19" s="31" t="inlineStr">
        <is>
          <t>المسؤول</t>
        </is>
      </c>
      <c r="C19" s="31" t="inlineStr">
        <is>
          <t>مكتمل؟</t>
        </is>
      </c>
      <c r="D19" s="31" t="inlineStr">
        <is>
          <t>ملاحظات</t>
        </is>
      </c>
    </row>
    <row r="20" ht="24" customHeight="1">
      <c r="A20" s="18" t="inlineStr">
        <is>
          <t>إغلاق نظام الـ POS وتسوية الفواتير اليومية</t>
        </is>
      </c>
      <c r="B20" s="26" t="inlineStr">
        <is>
          <t>الموظف</t>
        </is>
      </c>
      <c r="C20" s="26" t="inlineStr">
        <is>
          <t>لا</t>
        </is>
      </c>
      <c r="D20" s="26" t="n"/>
    </row>
    <row r="21" ht="24" customHeight="1">
      <c r="A21" s="27" t="inlineStr">
        <is>
          <t>مراجعة صندوق النقد وتسجيل إيداع اليوم</t>
        </is>
      </c>
      <c r="B21" s="26" t="inlineStr">
        <is>
          <t>الموظف</t>
        </is>
      </c>
      <c r="C21" s="26" t="inlineStr">
        <is>
          <t>لا</t>
        </is>
      </c>
      <c r="D21" s="26" t="n"/>
    </row>
    <row r="22" ht="24" customHeight="1">
      <c r="A22" s="18" t="inlineStr">
        <is>
          <t>حفظ المواد القابلة للتلف بدرجة حرارة صحيحة</t>
        </is>
      </c>
      <c r="B22" s="26" t="inlineStr">
        <is>
          <t>الموظف</t>
        </is>
      </c>
      <c r="C22" s="26" t="inlineStr">
        <is>
          <t>لا</t>
        </is>
      </c>
      <c r="D22" s="26" t="n"/>
    </row>
    <row r="23" ht="24" customHeight="1">
      <c r="A23" s="27" t="inlineStr">
        <is>
          <t>تنظيف المطبخ وطاولات التحضير وتعقيمها</t>
        </is>
      </c>
      <c r="B23" s="26" t="inlineStr">
        <is>
          <t>الموظف</t>
        </is>
      </c>
      <c r="C23" s="26" t="inlineStr">
        <is>
          <t>لا</t>
        </is>
      </c>
      <c r="D23" s="26" t="n"/>
    </row>
    <row r="24" ht="24" customHeight="1">
      <c r="A24" s="18" t="inlineStr">
        <is>
          <t>تفريغ مخلفات الطعام في أماكنها المخصصة</t>
        </is>
      </c>
      <c r="B24" s="26" t="inlineStr">
        <is>
          <t>الموظف</t>
        </is>
      </c>
      <c r="C24" s="26" t="inlineStr">
        <is>
          <t>لا</t>
        </is>
      </c>
      <c r="D24" s="26" t="n"/>
    </row>
    <row r="25" ht="24" customHeight="1">
      <c r="A25" s="27" t="inlineStr">
        <is>
          <t>إطفاء الغاز والأجهزة غير الضرورية</t>
        </is>
      </c>
      <c r="B25" s="26" t="inlineStr">
        <is>
          <t>الموظف</t>
        </is>
      </c>
      <c r="C25" s="26" t="inlineStr">
        <is>
          <t>لا</t>
        </is>
      </c>
      <c r="D25" s="26" t="n"/>
    </row>
    <row r="26" ht="24" customHeight="1">
      <c r="A26" s="18" t="inlineStr">
        <is>
          <t>تأمين الأبواب والنوافذ وتفعيل الإنذار</t>
        </is>
      </c>
      <c r="B26" s="26" t="inlineStr">
        <is>
          <t>الموظف</t>
        </is>
      </c>
      <c r="C26" s="26" t="inlineStr">
        <is>
          <t>لا</t>
        </is>
      </c>
      <c r="D26" s="26" t="n"/>
    </row>
    <row r="27" ht="24" customHeight="1">
      <c r="A27" s="27" t="inlineStr">
        <is>
          <t>تسجيل ملاحظات اليوم وقائمة المشتريات للغد</t>
        </is>
      </c>
      <c r="B27" s="26" t="inlineStr">
        <is>
          <t>الموظف</t>
        </is>
      </c>
      <c r="C27" s="26" t="inlineStr">
        <is>
          <t>لا</t>
        </is>
      </c>
      <c r="D27" s="26" t="n"/>
    </row>
    <row r="28" ht="24" customHeight="1">
      <c r="A28" s="18" t="inlineStr">
        <is>
          <t>مراجعة استهلاك المياه والكهرباء</t>
        </is>
      </c>
      <c r="B28" s="26" t="inlineStr">
        <is>
          <t>الموظف</t>
        </is>
      </c>
      <c r="C28" s="26" t="inlineStr">
        <is>
          <t>لا</t>
        </is>
      </c>
      <c r="D28" s="26" t="n"/>
    </row>
    <row r="29" ht="24" customHeight="1">
      <c r="A29" s="27" t="inlineStr">
        <is>
          <t>تأكيد جدول دوام الغد مع الفريق</t>
        </is>
      </c>
      <c r="B29" s="26" t="inlineStr">
        <is>
          <t>الموظف</t>
        </is>
      </c>
      <c r="C29" s="26" t="inlineStr">
        <is>
          <t>لا</t>
        </is>
      </c>
      <c r="D29" s="26" t="n"/>
    </row>
    <row r="30" ht="26" customHeight="1">
      <c r="A30" s="10" t="inlineStr">
        <is>
          <t>نسبة الإنجاز</t>
        </is>
      </c>
      <c r="B30" s="32" t="n"/>
      <c r="C30" s="33">
        <f>COUNTIF(C20:C29,"نعم")/COUNTA(C20:C29)</f>
        <v/>
      </c>
      <c r="D30" s="32" t="n"/>
    </row>
    <row r="31">
      <c r="B31" s="32" t="n"/>
      <c r="C31" s="32" t="n"/>
      <c r="D31" s="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A1:D1"/>
    <mergeCell ref="A4:D4"/>
    <mergeCell ref="A2:D2"/>
    <mergeCell ref="A18:D18"/>
  </mergeCells>
  <conditionalFormatting sqref="A5:D16">
    <cfRule type="expression" priority="1" dxfId="4">
      <formula>$C6="نعم"</formula>
    </cfRule>
  </conditionalFormatting>
  <conditionalFormatting sqref="A19:D30">
    <cfRule type="expression" priority="2" dxfId="4">
      <formula>$C20="نعم"</formula>
    </cfRule>
  </conditionalFormatting>
  <dataValidations count="2">
    <dataValidation sqref="C6:C15" showDropDown="0" showInputMessage="0" showErrorMessage="0" allowBlank="1" type="list">
      <formula1>"نعم,لا"</formula1>
    </dataValidation>
    <dataValidation sqref="C20:C29" showDropDown="0" showInputMessage="0" showErrorMessage="0" allowBlank="1" type="list">
      <formula1>"نعم,لا"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Restaurant Survival Toolkit</dc:creator>
  <dc:title>Restaurant Survival Toolkit 2026</dc:title>
  <dcterms:created xsi:type="dcterms:W3CDTF">2026-08-06T02:08:58Z</dcterms:created>
  <dcterms:modified xsi:type="dcterms:W3CDTF">2026-08-06T02:08:58Z</dcterms:modified>
</cp:coreProperties>
</file>